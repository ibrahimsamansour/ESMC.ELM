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brahim\ESMC\Smart meters Project\"/>
    </mc:Choice>
  </mc:AlternateContent>
  <xr:revisionPtr revIDLastSave="0" documentId="13_ncr:1_{6D6CDFC8-FE86-4CE6-B162-ED786ED5BF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t B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2" authorId="0" shapeId="0" xr:uid="{00000000-0006-0000-0000-000001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update in the next version of meterview</t>
        </r>
      </text>
    </comment>
    <comment ref="C3" authorId="0" shapeId="0" xr:uid="{00000000-0006-0000-0000-000002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finished update</t>
        </r>
      </text>
    </comment>
    <comment ref="C4" authorId="0" shapeId="0" xr:uid="{00000000-0006-0000-0000-000003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working normally. Meter need time to culumative the value.</t>
        </r>
      </text>
    </comment>
    <comment ref="C5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will update in the next version of meterview</t>
        </r>
      </text>
    </comment>
    <comment ref="C7" authorId="0" shapeId="0" xr:uid="{00000000-0006-0000-0000-000005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message is deponds on the current status.if happeded,it will displayed, if finish it will disappear</t>
        </r>
      </text>
    </comment>
    <comment ref="C8" authorId="0" shapeId="0" xr:uid="{00000000-0006-0000-0000-000006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dyan： reject。 Comply the obis code doc</t>
        </r>
      </text>
    </comment>
    <comment ref="C9" authorId="0" shapeId="0" xr:uid="{00000000-0006-0000-0000-000007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will
 uapate it in the nest version of meterview</t>
        </r>
      </text>
    </comment>
    <comment ref="C10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if unmark means the event has finished. If marked means the event is happpening.</t>
        </r>
      </text>
    </comment>
    <comment ref="C11" authorId="0" shapeId="0" xr:uid="{00000000-0006-0000-0000-000009000000}">
      <text>
        <r>
          <rPr>
            <b/>
            <sz val="9"/>
            <color indexed="81"/>
            <rFont val="宋体"/>
            <charset val="134"/>
          </rPr>
          <t>Administrator:</t>
        </r>
        <r>
          <rPr>
            <sz val="9"/>
            <color indexed="81"/>
            <rFont val="宋体"/>
            <charset val="134"/>
          </rPr>
          <t xml:space="preserve">
there in no display items on the LCD in penalty mode.</t>
        </r>
      </text>
    </comment>
    <comment ref="C12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undate in the next version of meter</t>
        </r>
      </text>
    </comment>
    <comment ref="C13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dylan：reject</t>
        </r>
      </text>
    </comment>
    <comment ref="C14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reject</t>
        </r>
      </text>
    </comment>
    <comment ref="C15" authorId="0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dylan：depons on the finial testing with HES.</t>
        </r>
      </text>
    </comment>
    <comment ref="C16" authorId="0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reject</t>
        </r>
      </text>
    </comment>
    <comment ref="C17" authorId="0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dylan:reject.check the lable of LCD.</t>
        </r>
      </text>
    </comment>
  </commentList>
</comments>
</file>

<file path=xl/sharedStrings.xml><?xml version="1.0" encoding="utf-8"?>
<sst xmlns="http://schemas.openxmlformats.org/spreadsheetml/2006/main" count="172" uniqueCount="75">
  <si>
    <t>Key</t>
  </si>
  <si>
    <t>Summary</t>
  </si>
  <si>
    <t>Description</t>
  </si>
  <si>
    <t>Meter Type</t>
  </si>
  <si>
    <t>P</t>
  </si>
  <si>
    <t>Priorty</t>
  </si>
  <si>
    <t>Project</t>
  </si>
  <si>
    <t>Status</t>
  </si>
  <si>
    <t>Status Category</t>
  </si>
  <si>
    <t>T</t>
  </si>
  <si>
    <t/>
  </si>
  <si>
    <t>Medium</t>
  </si>
  <si>
    <t>R&amp;D Metering</t>
  </si>
  <si>
    <t>Task</t>
  </si>
  <si>
    <t>RM-35</t>
  </si>
  <si>
    <t>Over load function enable &amp; disable</t>
  </si>
  <si>
    <t>1-Set Threshold for over current value "Threshold Normal" = 0A
2-Set "min over threshold duration" = 30 sec
3-Set "min under threshold duration" = 120 sec
4- Set "Auto recovery times setting of current over limit" = 3
 5-Connect load &gt; 6 A and wait for 30 sec6- Check over load event status and relay status
Expected Result : 
1- setting Threshold for over current value "Threshold Normal" = 0A means "Disable the overload function"
2-so we expected that the relay will not open and no event for overload
Actual Result: after step 5 the meter display "حمل زائد" message and relay opened after detection time</t>
  </si>
  <si>
    <t>CL230D22H</t>
  </si>
  <si>
    <t>High</t>
  </si>
  <si>
    <t>In Progress</t>
  </si>
  <si>
    <t>Bug</t>
  </si>
  <si>
    <t>Both</t>
  </si>
  <si>
    <t>RM-56</t>
  </si>
  <si>
    <t>obis code modification who were written in Google sheet</t>
  </si>
  <si>
    <t>RM-61</t>
  </si>
  <si>
    <t xml:space="preserve">Value of average import power  factor in load profile incorrect </t>
  </si>
  <si>
    <t># set load profile time = 15 min
# set pf=1 in meter
# Read load profile from meterview
Expected: value of average import power  factor in load profile  value should equal 1
Actual: Value of average Items less than as expected
[^Load Profile Average.xlsx]
{color:#bf2600}#Hint{color}
Open the attachment</t>
  </si>
  <si>
    <t>To Do</t>
  </si>
  <si>
    <t>RM-71</t>
  </si>
  <si>
    <t>no log for over / under   volte</t>
  </si>
  <si>
    <t>logs for over/ under voltage with count not found in meterview for two meters, Only “sag &amp; swell” were logged</t>
  </si>
  <si>
    <t>RM-73</t>
  </si>
  <si>
    <t>can't edit energy mode for direct meter</t>
  </si>
  <si>
    <t>meter view tool don't allow to enable generator mode in s22 meter</t>
  </si>
  <si>
    <t>CL230S22</t>
  </si>
  <si>
    <t>RM-158</t>
  </si>
  <si>
    <t>Message of overLoad on meter</t>
  </si>
  <si>
    <t xml:space="preserve"># Configure auto_recovery = 2 and load limit = 10A &amp;&amp; T_on=60 sec &amp;&amp; T_off=60 sec
# Inject 15A the meter will sense an overload the first time and the relay will close again after 2 min (Number of overload (96.4.3) = 1 &amp;&amp; Message of overload will appear ”حمل زائد” on display)
# Inject 15A the meter will sense an overload the second time and the relay will close again after 2 min (Number of overload(96.4.3) = 2 Message of overload will appear ”حمل زائد” on display)
# The third time, it will open and not close again after two minutes with (Current = 0A) and {color:#bf2600}Message of overload will disappear ”حمل زائد”{color}
Expected Result :  
* After the third time Message of overload ”حمل زائد” should  displayed  until the clear tamper command executed
Actual Result:  
* After the third time Message of overload will disappear ”حمل زائد”
 </t>
  </si>
  <si>
    <t>RM-160</t>
  </si>
  <si>
    <t>Event Book</t>
  </si>
  <si>
    <t xml:space="preserve">h2. Example …
+The+ +*tamper1 event log*+  +contains+
{
Terminal cover,
Top  cover,
 reverse current,
phase and neutral swap 
}
* +Tamper1 event log can record 50 events for each tamper+  
So the requirement is : 
# 50 events for the terminal cover only and then FIFO
# 50 events for Top cover only and then FIFO
# 50 events for reverse current and then FIFO
# 50 events for phase and neutral swap and then FIFO
So, the Total event in the group is the same  = 50 + 50+ 50 + 50= 200 events but specified for each tamper.
*#Hint*
We divided these tampers into +*the highest priority, the highest count*+ of event logs 
 </t>
  </si>
  <si>
    <t>RM-163</t>
  </si>
  <si>
    <t xml:space="preserve">New added Items in meterview number of overload (daily) and cumulative number of overload (yearly) is not working </t>
  </si>
  <si>
    <t># open meterview → Display → Normal display
# Adding number of overload (daily) and cumulative number of overload to the normal display list is failed and display this message “Set Service Normal display Failed: DATA BLOCK UNAVAILABLE”</t>
  </si>
  <si>
    <t>RM-166</t>
  </si>
  <si>
    <t>CT open L1,L2,L3 and current missing conditions is not working in the Error register</t>
  </si>
  <si>
    <t>RM-171</t>
  </si>
  <si>
    <t>display PF in penalty mode</t>
  </si>
  <si>
    <t>V1=63.5      I1=3
V2=0           I2=3 PENALTY 
V3=0           I3=0
EXPECTED RESULT 
PF L2 should display 1 on meter 
instantaneous PF l2 =1
actual result
PF L2  display 0.3 on meter
instantaneous PF l2 =0.3</t>
  </si>
  <si>
    <t>RM-178</t>
  </si>
  <si>
    <t>no message display for current missing</t>
  </si>
  <si>
    <t xml:space="preserve">steps:
v1=63.5    L1=0
wait detection time  1 min
expected result: 
display message on screen for  current missing event
Actual result 
no message </t>
  </si>
  <si>
    <t>Low</t>
  </si>
  <si>
    <t>RM-179</t>
  </si>
  <si>
    <t>meter view shouldn't accept less than 60% for threshold for under voltage</t>
  </si>
  <si>
    <t>RM-180</t>
  </si>
  <si>
    <t>alarm led is not blinking in missing voltage and abnormal voltage</t>
  </si>
  <si>
    <t>steps to produce the issue in missing voltage: 
-inject 0.4 A to L1
-inject 0 V  to   L1
expected result: 
-led alarm is blinking .
-Missing voltage message is appeared
actual result:
-led alarm is blinking is off
-Missing voltage message is appeared
steps to produce the issue in abnormal voltage: 
-inject 0.4 A to L1
-inject 25 V  to L1
expected result: 
-led alarm is blinking .
-abnormal voltage message is appeared
actual result:
-led alarm is blinking is off
-abnormal voltage message is appeared</t>
  </si>
  <si>
    <t>RM-187</t>
  </si>
  <si>
    <t>there is no objects for export active power(A-) , import reactive power (R+) and export reactive power (R-) in maximum value and minimum value and average value in the power quality profile configure</t>
  </si>
  <si>
    <t>RM-190</t>
  </si>
  <si>
    <t>No consumption when set denominator grater than numerator for CT and PT</t>
  </si>
  <si>
    <t>Created at 06/Mar/25 9:54 AM by Hany with Better Excel Exporter for Jira Cloud</t>
  </si>
  <si>
    <t>help »</t>
  </si>
  <si>
    <t>Elements need to be added in the normal display list in meterview : 1-Battery status 2- contactor status for low voltage meters</t>
  </si>
  <si>
    <t xml:space="preserve">_STEPS:_
1-set denominator for PT =3 and nominator=1
2-  set denominator for CT =5 and nominator=250
Actual result 
current for L1 L2  L3  =0
voltage for V1 V2 V3=0 
EXPECTED RESULT 
meter should reject this values </t>
    <phoneticPr fontId="12" type="noConversion"/>
  </si>
  <si>
    <t xml:space="preserve">
steps: Applying start conditions in the manual (A phase voltage) &gt; (60%* Nominal voltage) &amp;&amp; the current &lt; (0.5%*Ib),
Detection time: 60s, to the three lines one after one
expected: CT(1-2-3) open bits and missing current bit is high 
Actual: -when applying start conditions to phase1 CT1  bit and missing    current is high 
-when applying start conditions to phase2,3 CT2,3  bits only is high
steps: Applying end conditions in the manual (A phase voltage) &lt; (60%* Nominal voltage) || the current &gt; (0.5%*Ib),
Detection time: 60s,to the three lines one after one
expected :CT(1-2-3) open bits and missing current bit is low
Actual: -when applying start conditions to phase1  only missing   current is low and CT1 is still high 
-when applying start conditions to phase2,3 CT2,3  bits is still high 
Justication
-only the start condition for  CT open L1 and current missing is working
-current missing bit is high  only with CT openL1 in the start conditions for CT openL1,L2,L3
-the end conditions for  CT open L1,L2,L3 is not working</t>
    <phoneticPr fontId="12" type="noConversion"/>
  </si>
  <si>
    <t>Reply</t>
  </si>
  <si>
    <t xml:space="preserve">After three times the meter will  not close the relay again because overload so the message should display until clear tamper </t>
  </si>
  <si>
    <t>If phase 1 has penalty 
when read pf of phase 1 on the display pf = 0.3 Why????? 
So, It should display pf = 1</t>
  </si>
  <si>
    <t xml:space="preserve">In overVoltage threshould in meterView not accept higher than 130%. SO, why in undervoltage threshould accept less than 60% WHY????? </t>
  </si>
  <si>
    <t>WHY?!!!!!!</t>
  </si>
  <si>
    <t>DylanComment :  Will  add after migration with cyshield because Unified OBIS code not have OBIS for these param.</t>
  </si>
  <si>
    <r>
      <t xml:space="preserve">Why the meter need time? 
</t>
    </r>
    <r>
      <rPr>
        <sz val="11"/>
        <color theme="3"/>
        <rFont val="Calibri"/>
        <family val="2"/>
        <scheme val="minor"/>
      </rPr>
      <t>As required in tender book "load profile time configurable from 1 to 60 minuts" so it should work normaly at less than 10 minutes</t>
    </r>
  </si>
  <si>
    <r>
      <t xml:space="preserve">Attach document that violate with this requirement
</t>
    </r>
    <r>
      <rPr>
        <sz val="11"/>
        <color theme="3"/>
        <rFont val="Calibri"/>
        <family val="2"/>
        <scheme val="minor"/>
      </rPr>
      <t>Note: main reference is the tender book, so if the integration with obis code doc will cause bug we should change and then ask Cyshield to change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</si>
</sst>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Color46]General"/>
    <numFmt numFmtId="165" formatCode="[Black]General"/>
  </numFmts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0" tint="-0.499984740745262"/>
      <name val="Calibri"/>
      <family val="2"/>
      <charset val="238"/>
      <scheme val="minor"/>
    </font>
    <font>
      <sz val="8"/>
      <color rgb="FF0064FF"/>
      <name val="Calibri"/>
      <family val="2"/>
      <charset val="238"/>
      <scheme val="minor"/>
    </font>
    <font>
      <sz val="11"/>
      <color indexed="12"/>
      <name val="Calibri"/>
    </font>
    <font>
      <sz val="11"/>
      <color theme="1"/>
      <name val="Calibri"/>
      <family val="2"/>
      <scheme val="minor"/>
    </font>
    <font>
      <sz val="18"/>
      <color rgb="FF292A2E"/>
      <name val="Calibri"/>
      <family val="2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color indexed="81"/>
      <name val="宋体"/>
      <family val="3"/>
      <charset val="134"/>
    </font>
    <font>
      <sz val="11"/>
      <color theme="0" tint="-0.1499984740745262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7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2F2F2"/>
      <color rgb="FFF2F2F3"/>
      <color rgb="FFDDDDDD"/>
      <color rgb="FF0000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mc.atlassian.net/browse/RM-160" TargetMode="External"/><Relationship Id="rId18" Type="http://schemas.openxmlformats.org/officeDocument/2006/relationships/hyperlink" Target="https://esmc.atlassian.net/browse/RM-166" TargetMode="External"/><Relationship Id="rId26" Type="http://schemas.openxmlformats.org/officeDocument/2006/relationships/hyperlink" Target="https://esmc.atlassian.net/browse/RM-180" TargetMode="External"/><Relationship Id="rId3" Type="http://schemas.openxmlformats.org/officeDocument/2006/relationships/hyperlink" Target="https://esmc.atlassian.net/browse/RM-56" TargetMode="External"/><Relationship Id="rId21" Type="http://schemas.openxmlformats.org/officeDocument/2006/relationships/hyperlink" Target="https://esmc.atlassian.net/browse/RM-178" TargetMode="External"/><Relationship Id="rId34" Type="http://schemas.openxmlformats.org/officeDocument/2006/relationships/image" Target="../media/image1.png"/><Relationship Id="rId7" Type="http://schemas.openxmlformats.org/officeDocument/2006/relationships/hyperlink" Target="https://esmc.atlassian.net/browse/RM-71" TargetMode="External"/><Relationship Id="rId12" Type="http://schemas.openxmlformats.org/officeDocument/2006/relationships/hyperlink" Target="https://esmc.atlassian.net/browse/RM-158" TargetMode="External"/><Relationship Id="rId17" Type="http://schemas.openxmlformats.org/officeDocument/2006/relationships/hyperlink" Target="https://esmc.atlassian.net/browse/RM-166" TargetMode="External"/><Relationship Id="rId25" Type="http://schemas.openxmlformats.org/officeDocument/2006/relationships/hyperlink" Target="https://esmc.atlassian.net/browse/RM-180" TargetMode="External"/><Relationship Id="rId33" Type="http://schemas.openxmlformats.org/officeDocument/2006/relationships/vmlDrawing" Target="../drawings/vmlDrawing1.vml"/><Relationship Id="rId2" Type="http://schemas.openxmlformats.org/officeDocument/2006/relationships/hyperlink" Target="https://esmc.atlassian.net/browse/RM-35" TargetMode="External"/><Relationship Id="rId16" Type="http://schemas.openxmlformats.org/officeDocument/2006/relationships/hyperlink" Target="https://esmc.atlassian.net/browse/RM-163" TargetMode="External"/><Relationship Id="rId20" Type="http://schemas.openxmlformats.org/officeDocument/2006/relationships/hyperlink" Target="https://esmc.atlassian.net/browse/RM-171" TargetMode="External"/><Relationship Id="rId29" Type="http://schemas.openxmlformats.org/officeDocument/2006/relationships/hyperlink" Target="https://esmc.atlassian.net/browse/RM-190" TargetMode="External"/><Relationship Id="rId1" Type="http://schemas.openxmlformats.org/officeDocument/2006/relationships/hyperlink" Target="https://esmc.atlassian.net/browse/RM-35" TargetMode="External"/><Relationship Id="rId6" Type="http://schemas.openxmlformats.org/officeDocument/2006/relationships/hyperlink" Target="https://esmc.atlassian.net/browse/RM-61" TargetMode="External"/><Relationship Id="rId11" Type="http://schemas.openxmlformats.org/officeDocument/2006/relationships/hyperlink" Target="https://esmc.atlassian.net/browse/RM-158" TargetMode="External"/><Relationship Id="rId24" Type="http://schemas.openxmlformats.org/officeDocument/2006/relationships/hyperlink" Target="https://esmc.atlassian.net/browse/RM-179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esmc.atlassian.net/browse/RM-61" TargetMode="External"/><Relationship Id="rId15" Type="http://schemas.openxmlformats.org/officeDocument/2006/relationships/hyperlink" Target="https://esmc.atlassian.net/browse/RM-163" TargetMode="External"/><Relationship Id="rId23" Type="http://schemas.openxmlformats.org/officeDocument/2006/relationships/hyperlink" Target="https://esmc.atlassian.net/browse/RM-179" TargetMode="External"/><Relationship Id="rId28" Type="http://schemas.openxmlformats.org/officeDocument/2006/relationships/hyperlink" Target="https://esmc.atlassian.net/browse/RM-187" TargetMode="External"/><Relationship Id="rId10" Type="http://schemas.openxmlformats.org/officeDocument/2006/relationships/hyperlink" Target="https://esmc.atlassian.net/browse/RM-73" TargetMode="External"/><Relationship Id="rId19" Type="http://schemas.openxmlformats.org/officeDocument/2006/relationships/hyperlink" Target="https://esmc.atlassian.net/browse/RM-171" TargetMode="External"/><Relationship Id="rId31" Type="http://schemas.openxmlformats.org/officeDocument/2006/relationships/hyperlink" Target="http://www.midori-global.com/products/better-excel-exporter-for-jira?utm_source=jxlsc&amp;utm_medium=template&amp;utm_campaign=gh&amp;utm_content=issue-navigator" TargetMode="External"/><Relationship Id="rId4" Type="http://schemas.openxmlformats.org/officeDocument/2006/relationships/hyperlink" Target="https://esmc.atlassian.net/browse/RM-56" TargetMode="External"/><Relationship Id="rId9" Type="http://schemas.openxmlformats.org/officeDocument/2006/relationships/hyperlink" Target="https://esmc.atlassian.net/browse/RM-73" TargetMode="External"/><Relationship Id="rId14" Type="http://schemas.openxmlformats.org/officeDocument/2006/relationships/hyperlink" Target="https://esmc.atlassian.net/browse/RM-160" TargetMode="External"/><Relationship Id="rId22" Type="http://schemas.openxmlformats.org/officeDocument/2006/relationships/hyperlink" Target="https://esmc.atlassian.net/browse/RM-178" TargetMode="External"/><Relationship Id="rId27" Type="http://schemas.openxmlformats.org/officeDocument/2006/relationships/hyperlink" Target="https://esmc.atlassian.net/browse/RM-187" TargetMode="External"/><Relationship Id="rId30" Type="http://schemas.openxmlformats.org/officeDocument/2006/relationships/hyperlink" Target="https://esmc.atlassian.net/browse/RM-190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esmc.atlassian.net/browse/RM-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="80" zoomScaleNormal="80" workbookViewId="0">
      <pane ySplit="1" topLeftCell="A15" activePane="bottomLeft" state="frozen"/>
      <selection pane="bottomLeft" activeCell="B17" sqref="B17"/>
    </sheetView>
  </sheetViews>
  <sheetFormatPr defaultColWidth="9.08984375" defaultRowHeight="14.5"/>
  <cols>
    <col min="1" max="1" width="6.81640625" style="2" customWidth="1"/>
    <col min="2" max="2" width="37.81640625" style="2" customWidth="1"/>
    <col min="3" max="3" width="111.54296875" style="2" customWidth="1" collapsed="1"/>
    <col min="4" max="4" width="13.90625" style="2" customWidth="1" collapsed="1"/>
    <col min="5" max="6" width="9.36328125" style="2" customWidth="1" collapsed="1"/>
    <col min="7" max="7" width="14.90625" style="2" customWidth="1" collapsed="1"/>
    <col min="8" max="8" width="8.90625" style="2" customWidth="1" collapsed="1"/>
    <col min="9" max="9" width="18.90625" style="2" customWidth="1" collapsed="1"/>
    <col min="10" max="10" width="6.36328125" style="2" customWidth="1" collapsed="1"/>
    <col min="11" max="11" width="30.7265625" style="2" customWidth="1" collapsed="1"/>
    <col min="12" max="24" width="9.08984375" style="2"/>
    <col min="25" max="16384" width="9.08984375" style="2" collapsed="1"/>
  </cols>
  <sheetData>
    <row r="1" spans="1:11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" t="s">
        <v>67</v>
      </c>
    </row>
    <row r="2" spans="1:11" ht="271" customHeight="1">
      <c r="A2" s="7" t="s">
        <v>14</v>
      </c>
      <c r="B2" s="7" t="s">
        <v>15</v>
      </c>
      <c r="C2" s="10" t="s">
        <v>16</v>
      </c>
      <c r="D2" s="2" t="s">
        <v>17</v>
      </c>
      <c r="E2" s="2" t="s">
        <v>11</v>
      </c>
      <c r="F2" s="2" t="s">
        <v>18</v>
      </c>
      <c r="G2" s="2" t="s">
        <v>12</v>
      </c>
      <c r="H2" s="8" t="s">
        <v>19</v>
      </c>
      <c r="I2" s="8" t="s">
        <v>19</v>
      </c>
      <c r="J2" s="2" t="s">
        <v>20</v>
      </c>
    </row>
    <row r="3" spans="1:11" ht="29">
      <c r="A3" s="7" t="s">
        <v>22</v>
      </c>
      <c r="B3" s="7" t="s">
        <v>23</v>
      </c>
      <c r="C3" s="2" t="s">
        <v>23</v>
      </c>
      <c r="D3" s="2" t="s">
        <v>10</v>
      </c>
      <c r="E3" s="2" t="s">
        <v>11</v>
      </c>
      <c r="F3" s="2" t="s">
        <v>11</v>
      </c>
      <c r="G3" s="2" t="s">
        <v>12</v>
      </c>
      <c r="H3" s="8" t="s">
        <v>19</v>
      </c>
      <c r="I3" s="8" t="s">
        <v>19</v>
      </c>
      <c r="J3" s="2" t="s">
        <v>20</v>
      </c>
    </row>
    <row r="4" spans="1:11" ht="187.25" customHeight="1">
      <c r="A4" s="7" t="s">
        <v>24</v>
      </c>
      <c r="B4" s="7" t="s">
        <v>25</v>
      </c>
      <c r="C4" s="2" t="s">
        <v>26</v>
      </c>
      <c r="D4" s="2" t="s">
        <v>21</v>
      </c>
      <c r="E4" s="2" t="s">
        <v>11</v>
      </c>
      <c r="F4" s="2" t="s">
        <v>18</v>
      </c>
      <c r="G4" s="2" t="s">
        <v>12</v>
      </c>
      <c r="H4" s="9" t="s">
        <v>27</v>
      </c>
      <c r="I4" s="9" t="s">
        <v>27</v>
      </c>
      <c r="J4" s="2" t="s">
        <v>20</v>
      </c>
      <c r="K4" s="14" t="s">
        <v>73</v>
      </c>
    </row>
    <row r="5" spans="1:11" ht="29">
      <c r="A5" s="7" t="s">
        <v>28</v>
      </c>
      <c r="B5" s="7" t="s">
        <v>29</v>
      </c>
      <c r="C5" s="10" t="s">
        <v>30</v>
      </c>
      <c r="D5" s="2" t="s">
        <v>21</v>
      </c>
      <c r="E5" s="2" t="s">
        <v>11</v>
      </c>
      <c r="F5" s="2" t="s">
        <v>11</v>
      </c>
      <c r="G5" s="2" t="s">
        <v>12</v>
      </c>
      <c r="H5" s="8" t="s">
        <v>19</v>
      </c>
      <c r="I5" s="8" t="s">
        <v>19</v>
      </c>
      <c r="J5" s="2" t="s">
        <v>20</v>
      </c>
    </row>
    <row r="6" spans="1:11" ht="29">
      <c r="A6" s="7" t="s">
        <v>31</v>
      </c>
      <c r="B6" s="7" t="s">
        <v>32</v>
      </c>
      <c r="C6" s="10" t="s">
        <v>33</v>
      </c>
      <c r="D6" s="2" t="s">
        <v>34</v>
      </c>
      <c r="E6" s="2" t="s">
        <v>11</v>
      </c>
      <c r="F6" s="2" t="s">
        <v>10</v>
      </c>
      <c r="G6" s="2" t="s">
        <v>12</v>
      </c>
      <c r="H6" s="8" t="s">
        <v>19</v>
      </c>
      <c r="I6" s="8" t="s">
        <v>19</v>
      </c>
      <c r="J6" s="2" t="s">
        <v>20</v>
      </c>
    </row>
    <row r="7" spans="1:11" ht="201.5" customHeight="1">
      <c r="A7" s="7" t="s">
        <v>35</v>
      </c>
      <c r="B7" s="7" t="s">
        <v>36</v>
      </c>
      <c r="C7" s="11" t="s">
        <v>37</v>
      </c>
      <c r="D7" s="2" t="s">
        <v>21</v>
      </c>
      <c r="E7" s="2" t="s">
        <v>11</v>
      </c>
      <c r="F7" s="2" t="s">
        <v>11</v>
      </c>
      <c r="G7" s="2" t="s">
        <v>12</v>
      </c>
      <c r="H7" s="9" t="s">
        <v>27</v>
      </c>
      <c r="I7" s="9" t="s">
        <v>27</v>
      </c>
      <c r="J7" s="2" t="s">
        <v>20</v>
      </c>
      <c r="K7" s="2" t="s">
        <v>68</v>
      </c>
    </row>
    <row r="8" spans="1:11" ht="409.6" customHeight="1">
      <c r="A8" s="7" t="s">
        <v>38</v>
      </c>
      <c r="B8" s="7" t="s">
        <v>39</v>
      </c>
      <c r="C8" s="12" t="s">
        <v>40</v>
      </c>
      <c r="D8" s="2" t="s">
        <v>21</v>
      </c>
      <c r="E8" s="2" t="s">
        <v>11</v>
      </c>
      <c r="F8" s="2" t="s">
        <v>18</v>
      </c>
      <c r="G8" s="2" t="s">
        <v>12</v>
      </c>
      <c r="H8" s="9" t="s">
        <v>27</v>
      </c>
      <c r="I8" s="9" t="s">
        <v>27</v>
      </c>
      <c r="J8" s="2" t="s">
        <v>13</v>
      </c>
      <c r="K8" s="2" t="s">
        <v>74</v>
      </c>
    </row>
    <row r="9" spans="1:11" ht="51.5" customHeight="1">
      <c r="A9" s="7" t="s">
        <v>41</v>
      </c>
      <c r="B9" s="7" t="s">
        <v>42</v>
      </c>
      <c r="C9" s="10" t="s">
        <v>43</v>
      </c>
      <c r="D9" s="2" t="s">
        <v>21</v>
      </c>
      <c r="E9" s="2" t="s">
        <v>11</v>
      </c>
      <c r="F9" s="2" t="s">
        <v>18</v>
      </c>
      <c r="G9" s="2" t="s">
        <v>12</v>
      </c>
      <c r="H9" s="9" t="s">
        <v>27</v>
      </c>
      <c r="I9" s="9" t="s">
        <v>27</v>
      </c>
      <c r="J9" s="2" t="s">
        <v>20</v>
      </c>
    </row>
    <row r="10" spans="1:11" ht="349" customHeight="1">
      <c r="A10" s="7" t="s">
        <v>44</v>
      </c>
      <c r="B10" s="7" t="s">
        <v>45</v>
      </c>
      <c r="C10" s="11" t="s">
        <v>66</v>
      </c>
      <c r="D10" s="2" t="s">
        <v>34</v>
      </c>
      <c r="E10" s="2" t="s">
        <v>11</v>
      </c>
      <c r="F10" s="2" t="s">
        <v>11</v>
      </c>
      <c r="G10" s="2" t="s">
        <v>12</v>
      </c>
      <c r="H10" s="9" t="s">
        <v>27</v>
      </c>
      <c r="I10" s="9" t="s">
        <v>27</v>
      </c>
      <c r="J10" s="2" t="s">
        <v>20</v>
      </c>
    </row>
    <row r="11" spans="1:11" ht="273.5" customHeight="1">
      <c r="A11" s="7" t="s">
        <v>46</v>
      </c>
      <c r="B11" s="7" t="s">
        <v>47</v>
      </c>
      <c r="C11" s="11" t="s">
        <v>48</v>
      </c>
      <c r="D11" s="2" t="s">
        <v>10</v>
      </c>
      <c r="E11" s="2" t="s">
        <v>11</v>
      </c>
      <c r="F11" s="2" t="s">
        <v>11</v>
      </c>
      <c r="G11" s="2" t="s">
        <v>12</v>
      </c>
      <c r="H11" s="9" t="s">
        <v>27</v>
      </c>
      <c r="I11" s="9" t="s">
        <v>27</v>
      </c>
      <c r="J11" s="2" t="s">
        <v>20</v>
      </c>
      <c r="K11" s="2" t="s">
        <v>69</v>
      </c>
    </row>
    <row r="12" spans="1:11" ht="187.25" customHeight="1">
      <c r="A12" s="7" t="s">
        <v>49</v>
      </c>
      <c r="B12" s="7" t="s">
        <v>50</v>
      </c>
      <c r="C12" s="11" t="s">
        <v>51</v>
      </c>
      <c r="D12" s="2" t="s">
        <v>17</v>
      </c>
      <c r="E12" s="2" t="s">
        <v>11</v>
      </c>
      <c r="F12" s="2" t="s">
        <v>52</v>
      </c>
      <c r="G12" s="2" t="s">
        <v>12</v>
      </c>
      <c r="H12" s="9" t="s">
        <v>27</v>
      </c>
      <c r="I12" s="9" t="s">
        <v>27</v>
      </c>
      <c r="J12" s="2" t="s">
        <v>20</v>
      </c>
    </row>
    <row r="13" spans="1:11" ht="290">
      <c r="A13" s="7" t="s">
        <v>53</v>
      </c>
      <c r="B13" s="7" t="s">
        <v>54</v>
      </c>
      <c r="C13" s="14" t="s">
        <v>10</v>
      </c>
      <c r="D13" s="2" t="s">
        <v>21</v>
      </c>
      <c r="E13" s="2" t="s">
        <v>11</v>
      </c>
      <c r="F13" s="2" t="s">
        <v>18</v>
      </c>
      <c r="G13" s="2" t="s">
        <v>12</v>
      </c>
      <c r="H13" s="9" t="s">
        <v>27</v>
      </c>
      <c r="I13" s="9" t="s">
        <v>27</v>
      </c>
      <c r="J13" s="2" t="s">
        <v>20</v>
      </c>
      <c r="K13" s="2" t="s">
        <v>70</v>
      </c>
    </row>
    <row r="14" spans="1:11" ht="316.75" customHeight="1">
      <c r="A14" s="7" t="s">
        <v>55</v>
      </c>
      <c r="B14" s="7" t="s">
        <v>56</v>
      </c>
      <c r="C14" s="11" t="s">
        <v>57</v>
      </c>
      <c r="D14" s="2" t="s">
        <v>21</v>
      </c>
      <c r="E14" s="2" t="s">
        <v>11</v>
      </c>
      <c r="F14" s="2" t="s">
        <v>11</v>
      </c>
      <c r="G14" s="2" t="s">
        <v>12</v>
      </c>
      <c r="H14" s="9" t="s">
        <v>27</v>
      </c>
      <c r="I14" s="9" t="s">
        <v>27</v>
      </c>
      <c r="J14" s="2" t="s">
        <v>20</v>
      </c>
      <c r="K14" s="2" t="s">
        <v>71</v>
      </c>
    </row>
    <row r="15" spans="1:11" ht="86" customHeight="1">
      <c r="A15" s="7" t="s">
        <v>58</v>
      </c>
      <c r="B15" s="7" t="s">
        <v>59</v>
      </c>
      <c r="C15" s="2" t="s">
        <v>10</v>
      </c>
      <c r="D15" s="2" t="s">
        <v>34</v>
      </c>
      <c r="E15" s="2" t="s">
        <v>11</v>
      </c>
      <c r="F15" s="2" t="s">
        <v>18</v>
      </c>
      <c r="G15" s="2" t="s">
        <v>12</v>
      </c>
      <c r="H15" s="9" t="s">
        <v>27</v>
      </c>
      <c r="I15" s="9" t="s">
        <v>27</v>
      </c>
      <c r="J15" s="2" t="s">
        <v>20</v>
      </c>
      <c r="K15" s="2" t="s">
        <v>72</v>
      </c>
    </row>
    <row r="16" spans="1:11" ht="284.5" customHeight="1">
      <c r="A16" s="7" t="s">
        <v>60</v>
      </c>
      <c r="B16" s="7" t="s">
        <v>61</v>
      </c>
      <c r="C16" s="11" t="s">
        <v>65</v>
      </c>
      <c r="D16" s="2" t="s">
        <v>10</v>
      </c>
      <c r="E16" s="2" t="s">
        <v>11</v>
      </c>
      <c r="F16" s="2" t="s">
        <v>10</v>
      </c>
      <c r="G16" s="2" t="s">
        <v>12</v>
      </c>
      <c r="H16" s="9" t="s">
        <v>27</v>
      </c>
      <c r="I16" s="9" t="s">
        <v>27</v>
      </c>
      <c r="J16" s="2" t="s">
        <v>20</v>
      </c>
      <c r="K16" s="2" t="s">
        <v>71</v>
      </c>
    </row>
    <row r="17" spans="1:10" ht="47">
      <c r="A17" s="6">
        <f>COUNTA(A2:A16)</f>
        <v>15</v>
      </c>
      <c r="B17" s="6"/>
      <c r="C17" s="13" t="s">
        <v>64</v>
      </c>
      <c r="D17" s="6"/>
      <c r="E17" s="6"/>
      <c r="F17" s="6"/>
      <c r="G17" s="6"/>
      <c r="H17" s="6"/>
      <c r="I17" s="6"/>
      <c r="J17" s="6"/>
    </row>
    <row r="18" spans="1:10">
      <c r="A18" s="3" t="s">
        <v>62</v>
      </c>
    </row>
    <row r="19" spans="1:10">
      <c r="A19" s="4" t="s">
        <v>63</v>
      </c>
    </row>
  </sheetData>
  <phoneticPr fontId="12" type="noConversion"/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9" r:id="rId31" xr:uid="{00000000-0004-0000-0000-00001E000000}"/>
  </hyperlinks>
  <pageMargins left="0.7" right="0.7" top="0.75" bottom="0.75" header="0.3" footer="0.3"/>
  <pageSetup orientation="portrait" r:id="rId32"/>
  <headerFooter>
    <oddHeader>&amp;L&amp;"-,Bold"&amp;9Excel (Non-Empty Fields) (Jira)&amp;R&amp;9Created at Thu Mar 06 07:54:45 UTC 2025 by Hany with Better Excel Exporter for Jira Cloud</oddHeader>
    <oddFooter>&amp;C&amp;9Page &amp;P</oddFooter>
  </headerFooter>
  <legacyDrawing r:id="rId33"/>
  <picture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 Bugs</vt:lpstr>
    </vt:vector>
  </TitlesOfParts>
  <Company>Midori Global Consulting Kft.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Global Consulting Kft.</dc:creator>
  <cp:lastModifiedBy>Farida Ibrahim Samir</cp:lastModifiedBy>
  <cp:lastPrinted>2014-02-11T12:39:58Z</cp:lastPrinted>
  <dcterms:created xsi:type="dcterms:W3CDTF">2014-02-11T09:14:01Z</dcterms:created>
  <dcterms:modified xsi:type="dcterms:W3CDTF">2025-03-10T08:44:48Z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